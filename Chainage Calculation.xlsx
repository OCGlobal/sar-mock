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3790\Desktop\project\sar-mock\"/>
    </mc:Choice>
  </mc:AlternateContent>
  <xr:revisionPtr revIDLastSave="0" documentId="13_ncr:1_{4E28E01F-C3CA-44C1-8D45-8DAD0E1FD139}" xr6:coauthVersionLast="47" xr6:coauthVersionMax="47" xr10:uidLastSave="{00000000-0000-0000-0000-000000000000}"/>
  <bookViews>
    <workbookView xWindow="-108" yWindow="-108" windowWidth="26136" windowHeight="16776" activeTab="2" xr2:uid="{633D881F-9E63-4F80-A27A-E0B2A3DD5440}"/>
  </bookViews>
  <sheets>
    <sheet name="計算" sheetId="2" r:id="rId1"/>
    <sheet name="Sheet1" sheetId="1" r:id="rId2"/>
    <sheet name="完成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  <c r="G4" i="1"/>
  <c r="G5" i="1"/>
  <c r="G7" i="1"/>
  <c r="A16" i="2"/>
  <c r="B10" i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8" i="1"/>
  <c r="G8" i="1" s="1"/>
  <c r="F7" i="1"/>
  <c r="F6" i="1"/>
  <c r="G6" i="1" s="1"/>
  <c r="F3" i="1"/>
  <c r="G3" i="1" s="1"/>
  <c r="F4" i="1"/>
  <c r="F5" i="1"/>
  <c r="F2" i="1"/>
  <c r="B3" i="1"/>
  <c r="B4" i="1"/>
  <c r="B5" i="1"/>
  <c r="B6" i="1"/>
  <c r="B7" i="1"/>
  <c r="B8" i="1"/>
  <c r="B9" i="1"/>
  <c r="B2" i="1"/>
  <c r="D12" i="2"/>
  <c r="D13" i="2"/>
  <c r="D14" i="2"/>
  <c r="D15" i="2"/>
  <c r="D16" i="2"/>
  <c r="D17" i="2"/>
  <c r="D11" i="2"/>
  <c r="D4" i="2"/>
  <c r="D5" i="2"/>
  <c r="D6" i="2"/>
  <c r="D3" i="2"/>
  <c r="D9" i="2"/>
  <c r="D8" i="2"/>
  <c r="D18" i="2"/>
  <c r="E11" i="2"/>
  <c r="E9" i="2"/>
  <c r="E4" i="2"/>
  <c r="E5" i="2"/>
  <c r="E6" i="2"/>
  <c r="E8" i="2"/>
  <c r="E3" i="2"/>
  <c r="D7" i="2"/>
  <c r="D2" i="2"/>
  <c r="C5" i="2"/>
  <c r="A4" i="2"/>
  <c r="D10" i="2" s="1"/>
  <c r="A13" i="2"/>
  <c r="A5" i="2" l="1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<sst xmlns="http://schemas.openxmlformats.org/spreadsheetml/2006/main" count="10" uniqueCount="10">
  <si>
    <t>Down</t>
    <phoneticPr fontId="1"/>
  </si>
  <si>
    <t>Up</t>
    <phoneticPr fontId="1"/>
  </si>
  <si>
    <t>UP</t>
    <phoneticPr fontId="1"/>
  </si>
  <si>
    <t>DOWN</t>
    <phoneticPr fontId="1"/>
  </si>
  <si>
    <t>延長</t>
    <rPh sb="0" eb="2">
      <t>エンチョウ</t>
    </rPh>
    <phoneticPr fontId="1"/>
  </si>
  <si>
    <t>up_y</t>
    <phoneticPr fontId="1"/>
  </si>
  <si>
    <t>up_x</t>
    <phoneticPr fontId="1"/>
  </si>
  <si>
    <t>down_x</t>
    <phoneticPr fontId="1"/>
  </si>
  <si>
    <t>down_y</t>
    <phoneticPr fontId="1"/>
  </si>
  <si>
    <t>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</si>
</sst>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1" fontId="0" fillId="2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E42A-DE76-4C5D-9835-C90990C6E8BC}">
  <dimension ref="A1:F19"/>
  <sheetViews>
    <sheetView workbookViewId="0">
      <selection activeCell="A17" sqref="A17"/>
    </sheetView>
  </sheetViews>
  <sheetFormatPr defaultRowHeight="18" x14ac:dyDescent="0.45"/>
  <cols>
    <col min="2" max="2" width="15.296875" customWidth="1"/>
    <col min="3" max="5" width="9.3984375" bestFit="1" customWidth="1"/>
  </cols>
  <sheetData>
    <row r="1" spans="1:6" x14ac:dyDescent="0.45">
      <c r="A1" t="s">
        <v>2</v>
      </c>
      <c r="D1" t="s">
        <v>3</v>
      </c>
    </row>
    <row r="2" spans="1:6" x14ac:dyDescent="0.45">
      <c r="A2">
        <v>18503</v>
      </c>
      <c r="B2">
        <v>20250515</v>
      </c>
      <c r="D2">
        <f>A2</f>
        <v>18503</v>
      </c>
      <c r="E2">
        <v>20250720</v>
      </c>
    </row>
    <row r="3" spans="1:6" x14ac:dyDescent="0.45">
      <c r="A3">
        <v>18553</v>
      </c>
      <c r="B3">
        <v>20250612</v>
      </c>
      <c r="D3" s="3">
        <f>ROUND(($D$7-$D$2)/20,1)*F3+$D$2</f>
        <v>18505.5</v>
      </c>
      <c r="E3" s="1">
        <f>B5</f>
        <v>20250721</v>
      </c>
      <c r="F3">
        <v>1</v>
      </c>
    </row>
    <row r="4" spans="1:6" x14ac:dyDescent="0.45">
      <c r="A4">
        <f>A3</f>
        <v>18553</v>
      </c>
      <c r="B4">
        <v>20250710</v>
      </c>
      <c r="D4" s="3">
        <f t="shared" ref="D4:D6" si="0">ROUND(($D$7-$D$2)/20,1)*F4+$D$2</f>
        <v>18515.5</v>
      </c>
      <c r="E4" s="1">
        <f t="shared" ref="E4:E6" si="1">B6</f>
        <v>20250725</v>
      </c>
      <c r="F4">
        <v>5</v>
      </c>
    </row>
    <row r="5" spans="1:6" x14ac:dyDescent="0.45">
      <c r="A5" s="3">
        <f>ROUND(($A$13-$A$4)/51,1)*C5+$A$4</f>
        <v>18626.7</v>
      </c>
      <c r="B5" s="1">
        <v>20250721</v>
      </c>
      <c r="C5" s="1">
        <f>B5-B4</f>
        <v>11</v>
      </c>
      <c r="D5" s="3">
        <f t="shared" si="0"/>
        <v>18530.5</v>
      </c>
      <c r="E5" s="1">
        <f t="shared" si="1"/>
        <v>20250801</v>
      </c>
      <c r="F5">
        <v>11</v>
      </c>
    </row>
    <row r="6" spans="1:6" x14ac:dyDescent="0.45">
      <c r="A6" s="3">
        <f t="shared" ref="A6:A12" si="2">ROUND(($A$13-$A$4)/51,1)*C6+$A$4</f>
        <v>18653.5</v>
      </c>
      <c r="B6" s="1">
        <v>20250725</v>
      </c>
      <c r="C6" s="1">
        <v>15</v>
      </c>
      <c r="D6" s="3">
        <f t="shared" si="0"/>
        <v>18540.5</v>
      </c>
      <c r="E6" s="1">
        <f t="shared" si="1"/>
        <v>20250805</v>
      </c>
      <c r="F6">
        <v>15</v>
      </c>
    </row>
    <row r="7" spans="1:6" x14ac:dyDescent="0.45">
      <c r="A7" s="3">
        <f t="shared" si="2"/>
        <v>18693.7</v>
      </c>
      <c r="B7" s="1">
        <v>20250801</v>
      </c>
      <c r="C7" s="1">
        <v>21</v>
      </c>
      <c r="D7">
        <f>A3</f>
        <v>18553</v>
      </c>
      <c r="E7">
        <v>20250810</v>
      </c>
    </row>
    <row r="8" spans="1:6" x14ac:dyDescent="0.45">
      <c r="A8" s="3">
        <f t="shared" si="2"/>
        <v>18720.5</v>
      </c>
      <c r="B8" s="1">
        <v>20250805</v>
      </c>
      <c r="C8" s="1">
        <v>25</v>
      </c>
      <c r="D8" s="1">
        <f>D7</f>
        <v>18553</v>
      </c>
      <c r="E8" s="1">
        <f>B9</f>
        <v>20250812</v>
      </c>
      <c r="F8">
        <v>22</v>
      </c>
    </row>
    <row r="9" spans="1:6" x14ac:dyDescent="0.45">
      <c r="A9" s="3">
        <f t="shared" si="2"/>
        <v>18767.400000000001</v>
      </c>
      <c r="B9" s="1">
        <v>20250812</v>
      </c>
      <c r="C9" s="1">
        <v>32</v>
      </c>
      <c r="D9" s="1">
        <f>D8</f>
        <v>18553</v>
      </c>
      <c r="E9" s="1">
        <f>B10</f>
        <v>20250816</v>
      </c>
      <c r="F9">
        <v>26</v>
      </c>
    </row>
    <row r="10" spans="1:6" x14ac:dyDescent="0.45">
      <c r="A10" s="3">
        <f t="shared" si="2"/>
        <v>18794.2</v>
      </c>
      <c r="B10" s="1">
        <v>20250816</v>
      </c>
      <c r="C10" s="1">
        <v>36</v>
      </c>
      <c r="D10">
        <f>A4</f>
        <v>18553</v>
      </c>
      <c r="E10">
        <v>20250820</v>
      </c>
    </row>
    <row r="11" spans="1:6" x14ac:dyDescent="0.45">
      <c r="A11" s="3">
        <f t="shared" si="2"/>
        <v>18841.099999999999</v>
      </c>
      <c r="B11" s="1">
        <v>20250823</v>
      </c>
      <c r="C11" s="1">
        <v>43</v>
      </c>
      <c r="D11" s="3">
        <f>ROUND(($D$18-$D$10)/39,1)*F11+$D$10</f>
        <v>18579.400000000001</v>
      </c>
      <c r="E11" s="1">
        <f>B11</f>
        <v>20250823</v>
      </c>
      <c r="F11">
        <v>3</v>
      </c>
    </row>
    <row r="12" spans="1:6" x14ac:dyDescent="0.45">
      <c r="A12" s="3">
        <f t="shared" si="2"/>
        <v>18867.900000000001</v>
      </c>
      <c r="B12" s="1">
        <v>20250827</v>
      </c>
      <c r="C12" s="1">
        <v>47</v>
      </c>
      <c r="D12" s="3">
        <f t="shared" ref="D12:D17" si="3">ROUND(($D$18-$D$10)/39,1)*F12+$D$10</f>
        <v>18614.599999999999</v>
      </c>
      <c r="E12" s="1">
        <v>20250827</v>
      </c>
      <c r="F12" s="4">
        <v>7</v>
      </c>
    </row>
    <row r="13" spans="1:6" x14ac:dyDescent="0.45">
      <c r="A13" s="2">
        <f>A2+391.8</f>
        <v>18894.8</v>
      </c>
      <c r="B13">
        <v>20250831</v>
      </c>
      <c r="C13">
        <v>51</v>
      </c>
      <c r="D13" s="3">
        <f t="shared" si="3"/>
        <v>18676.2</v>
      </c>
      <c r="E13" s="1">
        <v>20250903</v>
      </c>
      <c r="F13">
        <v>14</v>
      </c>
    </row>
    <row r="14" spans="1:6" x14ac:dyDescent="0.45">
      <c r="D14" s="3">
        <f t="shared" si="3"/>
        <v>18711.400000000001</v>
      </c>
      <c r="E14" s="1">
        <v>20250907</v>
      </c>
      <c r="F14">
        <v>18</v>
      </c>
    </row>
    <row r="15" spans="1:6" x14ac:dyDescent="0.45">
      <c r="A15" t="s">
        <v>4</v>
      </c>
      <c r="D15" s="3">
        <f t="shared" si="3"/>
        <v>18773</v>
      </c>
      <c r="E15" s="1">
        <v>20250914</v>
      </c>
      <c r="F15">
        <v>25</v>
      </c>
    </row>
    <row r="16" spans="1:6" x14ac:dyDescent="0.45">
      <c r="A16" s="2">
        <f>A13-A2</f>
        <v>391.79999999999927</v>
      </c>
      <c r="D16" s="3">
        <f t="shared" si="3"/>
        <v>18808.2</v>
      </c>
      <c r="E16" s="1">
        <v>20250918</v>
      </c>
      <c r="F16">
        <v>29</v>
      </c>
    </row>
    <row r="17" spans="4:6" x14ac:dyDescent="0.45">
      <c r="D17" s="3">
        <f t="shared" si="3"/>
        <v>18861</v>
      </c>
      <c r="E17" s="1">
        <v>20250925</v>
      </c>
      <c r="F17">
        <v>35</v>
      </c>
    </row>
    <row r="18" spans="4:6" x14ac:dyDescent="0.45">
      <c r="D18" s="3">
        <f>A13</f>
        <v>18894.8</v>
      </c>
      <c r="E18" s="1">
        <v>20250929</v>
      </c>
      <c r="F18">
        <v>39</v>
      </c>
    </row>
    <row r="19" spans="4:6" x14ac:dyDescent="0.45">
      <c r="E19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7ED0-CFF5-4004-993E-C25D412FD41A}">
  <dimension ref="A1:I16"/>
  <sheetViews>
    <sheetView zoomScale="85" zoomScaleNormal="85" workbookViewId="0">
      <selection activeCell="B1" sqref="B1"/>
    </sheetView>
  </sheetViews>
  <sheetFormatPr defaultRowHeight="18" x14ac:dyDescent="0.45"/>
  <cols>
    <col min="1" max="1" width="10.09765625" bestFit="1" customWidth="1"/>
    <col min="4" max="4" width="10.09765625" bestFit="1" customWidth="1"/>
    <col min="5" max="5" width="11.19921875" bestFit="1" customWidth="1"/>
    <col min="9" max="9" width="11.19921875" bestFit="1" customWidth="1"/>
  </cols>
  <sheetData>
    <row r="1" spans="1:9" x14ac:dyDescent="0.45">
      <c r="B1" t="s">
        <v>1</v>
      </c>
      <c r="F1" t="s">
        <v>0</v>
      </c>
    </row>
    <row r="2" spans="1:9" x14ac:dyDescent="0.45">
      <c r="A2">
        <v>20250721</v>
      </c>
      <c r="B2" s="2">
        <f>計算!A5</f>
        <v>18626.7</v>
      </c>
      <c r="C2" s="2">
        <f>B2-$F$2</f>
        <v>121.20000000000073</v>
      </c>
      <c r="D2">
        <v>701348</v>
      </c>
      <c r="E2">
        <v>9318469.1999999993</v>
      </c>
      <c r="F2" s="2">
        <f>計算!D3</f>
        <v>18505.5</v>
      </c>
      <c r="G2">
        <v>0</v>
      </c>
      <c r="H2">
        <v>701373.5</v>
      </c>
      <c r="I2">
        <v>9318334.9000000004</v>
      </c>
    </row>
    <row r="3" spans="1:9" x14ac:dyDescent="0.45">
      <c r="A3">
        <v>20250725</v>
      </c>
      <c r="B3" s="2">
        <f>計算!A6</f>
        <v>18653.5</v>
      </c>
      <c r="C3" s="2">
        <f>B3-$F$2</f>
        <v>148</v>
      </c>
      <c r="D3">
        <v>701342.3</v>
      </c>
      <c r="E3">
        <v>9318493.0999999996</v>
      </c>
      <c r="F3" s="2">
        <f>計算!D4</f>
        <v>18515.5</v>
      </c>
      <c r="G3" s="2">
        <f>F3-$F$2</f>
        <v>10</v>
      </c>
      <c r="H3">
        <v>701372.9</v>
      </c>
      <c r="I3">
        <v>9318351.6999999993</v>
      </c>
    </row>
    <row r="4" spans="1:9" x14ac:dyDescent="0.45">
      <c r="A4">
        <v>20250801</v>
      </c>
      <c r="B4" s="2">
        <f>計算!A7</f>
        <v>18693.7</v>
      </c>
      <c r="C4" s="2">
        <f>B4-$F$2</f>
        <v>188.20000000000073</v>
      </c>
      <c r="D4">
        <v>701336</v>
      </c>
      <c r="E4">
        <v>9318525.5</v>
      </c>
      <c r="F4" s="2">
        <f>計算!D5</f>
        <v>18530.5</v>
      </c>
      <c r="G4" s="2">
        <f t="shared" ref="G4:G15" si="0">F4-$F$2</f>
        <v>25</v>
      </c>
      <c r="H4">
        <v>701370.1</v>
      </c>
      <c r="I4">
        <v>9318359.4000000004</v>
      </c>
    </row>
    <row r="5" spans="1:9" x14ac:dyDescent="0.45">
      <c r="A5">
        <v>20250805</v>
      </c>
      <c r="B5" s="2">
        <f>計算!A8</f>
        <v>18720.5</v>
      </c>
      <c r="C5" s="2">
        <f>B5-$F$2</f>
        <v>215</v>
      </c>
      <c r="D5">
        <v>701334.6</v>
      </c>
      <c r="E5">
        <v>9318534.5999999996</v>
      </c>
      <c r="F5" s="2">
        <f>計算!D6</f>
        <v>18540.5</v>
      </c>
      <c r="G5" s="2">
        <f t="shared" si="0"/>
        <v>35</v>
      </c>
      <c r="H5">
        <v>701366.3</v>
      </c>
      <c r="I5">
        <v>9318372.8000000007</v>
      </c>
    </row>
    <row r="6" spans="1:9" x14ac:dyDescent="0.45">
      <c r="A6">
        <v>20250812</v>
      </c>
      <c r="B6" s="2">
        <f>計算!A9</f>
        <v>18767.400000000001</v>
      </c>
      <c r="C6" s="2">
        <f>B6-$F$2</f>
        <v>261.90000000000146</v>
      </c>
      <c r="D6">
        <v>701321.9</v>
      </c>
      <c r="E6">
        <v>9318579.6999999993</v>
      </c>
      <c r="F6">
        <f>計算!D8</f>
        <v>18553</v>
      </c>
      <c r="G6" s="2">
        <f t="shared" si="0"/>
        <v>47.5</v>
      </c>
      <c r="H6">
        <v>701361.3</v>
      </c>
      <c r="I6">
        <v>9318398.5</v>
      </c>
    </row>
    <row r="7" spans="1:9" x14ac:dyDescent="0.45">
      <c r="A7">
        <v>20250816</v>
      </c>
      <c r="B7" s="2">
        <f>計算!A10</f>
        <v>18794.2</v>
      </c>
      <c r="C7" s="2">
        <f>B7-$F$2</f>
        <v>288.70000000000073</v>
      </c>
      <c r="D7">
        <v>701317.7</v>
      </c>
      <c r="E7">
        <v>9318609.9000000004</v>
      </c>
      <c r="F7">
        <f>計算!D9</f>
        <v>18553</v>
      </c>
      <c r="G7" s="2">
        <f t="shared" si="0"/>
        <v>47.5</v>
      </c>
      <c r="H7">
        <v>701361.3</v>
      </c>
      <c r="I7">
        <v>9318398.5</v>
      </c>
    </row>
    <row r="8" spans="1:9" x14ac:dyDescent="0.45">
      <c r="A8">
        <v>20250823</v>
      </c>
      <c r="B8" s="2">
        <f>計算!A11</f>
        <v>18841.099999999999</v>
      </c>
      <c r="C8" s="2">
        <f>B8-$F$2</f>
        <v>335.59999999999854</v>
      </c>
      <c r="D8">
        <v>701310</v>
      </c>
      <c r="E8">
        <v>9318655.5999999996</v>
      </c>
      <c r="F8" s="2">
        <f>計算!D11</f>
        <v>18579.400000000001</v>
      </c>
      <c r="G8" s="2">
        <f t="shared" si="0"/>
        <v>73.900000000001455</v>
      </c>
      <c r="H8">
        <v>701354.3</v>
      </c>
      <c r="I8">
        <v>9318431.9000000004</v>
      </c>
    </row>
    <row r="9" spans="1:9" x14ac:dyDescent="0.45">
      <c r="A9">
        <v>20250827</v>
      </c>
      <c r="B9" s="2">
        <f>計算!A12</f>
        <v>18867.900000000001</v>
      </c>
      <c r="C9" s="2">
        <f>B9-$F$2</f>
        <v>362.40000000000146</v>
      </c>
      <c r="D9">
        <v>701302.9</v>
      </c>
      <c r="E9">
        <v>9318680.3000000007</v>
      </c>
      <c r="F9" s="2">
        <f>計算!D12</f>
        <v>18614.599999999999</v>
      </c>
      <c r="G9" s="2">
        <f t="shared" si="0"/>
        <v>109.09999999999854</v>
      </c>
      <c r="H9">
        <v>701354.3</v>
      </c>
      <c r="I9">
        <v>9318443.9000000004</v>
      </c>
    </row>
    <row r="10" spans="1:9" x14ac:dyDescent="0.45">
      <c r="A10">
        <v>20250903</v>
      </c>
      <c r="B10" s="2">
        <f>計算!A13</f>
        <v>18894.8</v>
      </c>
      <c r="C10" s="2">
        <f>B10-$F$2</f>
        <v>389.29999999999927</v>
      </c>
      <c r="D10">
        <v>701296.6</v>
      </c>
      <c r="E10">
        <v>9318706.3000000007</v>
      </c>
      <c r="F10" s="2">
        <f>計算!D13</f>
        <v>18676.2</v>
      </c>
      <c r="G10" s="2">
        <f t="shared" si="0"/>
        <v>170.70000000000073</v>
      </c>
      <c r="H10">
        <v>701337.4</v>
      </c>
      <c r="I10">
        <v>9318508.5999999996</v>
      </c>
    </row>
    <row r="11" spans="1:9" x14ac:dyDescent="0.45">
      <c r="A11">
        <v>20250907</v>
      </c>
      <c r="C11" s="2"/>
      <c r="F11" s="2">
        <f>計算!D14</f>
        <v>18711.400000000001</v>
      </c>
      <c r="G11" s="2">
        <f t="shared" si="0"/>
        <v>205.90000000000146</v>
      </c>
      <c r="H11">
        <v>701332.5</v>
      </c>
      <c r="I11">
        <v>9318526.1999999993</v>
      </c>
    </row>
    <row r="12" spans="1:9" x14ac:dyDescent="0.45">
      <c r="A12">
        <v>20250914</v>
      </c>
      <c r="C12" s="2"/>
      <c r="F12" s="2">
        <f>計算!D15</f>
        <v>18773</v>
      </c>
      <c r="G12" s="2">
        <f t="shared" si="0"/>
        <v>267.5</v>
      </c>
      <c r="H12">
        <v>701319.8</v>
      </c>
      <c r="I12">
        <v>9318588.0999999996</v>
      </c>
    </row>
    <row r="13" spans="1:9" x14ac:dyDescent="0.45">
      <c r="A13">
        <v>20250918</v>
      </c>
      <c r="C13" s="2"/>
      <c r="F13" s="2">
        <f>計算!D16</f>
        <v>18808.2</v>
      </c>
      <c r="G13" s="2">
        <f t="shared" si="0"/>
        <v>302.70000000000073</v>
      </c>
      <c r="H13">
        <v>701314.9</v>
      </c>
      <c r="I13">
        <v>9318621.1999999993</v>
      </c>
    </row>
    <row r="14" spans="1:9" x14ac:dyDescent="0.45">
      <c r="A14">
        <v>20250925</v>
      </c>
      <c r="C14" s="2"/>
      <c r="F14" s="2">
        <f>計算!D17</f>
        <v>18861</v>
      </c>
      <c r="G14" s="2">
        <f t="shared" si="0"/>
        <v>355.5</v>
      </c>
      <c r="H14">
        <v>701302.9</v>
      </c>
      <c r="I14">
        <v>9318673.9000000004</v>
      </c>
    </row>
    <row r="15" spans="1:9" x14ac:dyDescent="0.45">
      <c r="A15">
        <v>20250929</v>
      </c>
      <c r="C15" s="2"/>
      <c r="F15" s="2">
        <f>計算!D18</f>
        <v>18894.8</v>
      </c>
      <c r="G15" s="2">
        <f t="shared" si="0"/>
        <v>389.29999999999927</v>
      </c>
      <c r="H15">
        <v>701296.6</v>
      </c>
      <c r="I15">
        <v>9318706.3000000007</v>
      </c>
    </row>
    <row r="16" spans="1:9" x14ac:dyDescent="0.45">
      <c r="A16">
        <v>20251006</v>
      </c>
      <c r="C16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12F6-37A1-4B07-B7B1-7D74CB293A6D}">
  <dimension ref="A1:E16"/>
  <sheetViews>
    <sheetView tabSelected="1" zoomScale="85" zoomScaleNormal="85" workbookViewId="0">
      <selection activeCell="G11" sqref="G11"/>
    </sheetView>
  </sheetViews>
  <sheetFormatPr defaultRowHeight="18" x14ac:dyDescent="0.45"/>
  <cols>
    <col min="1" max="2" width="10.09765625" bestFit="1" customWidth="1"/>
    <col min="3" max="3" width="11.19921875" bestFit="1" customWidth="1"/>
    <col min="5" max="5" width="11.19921875" bestFit="1" customWidth="1"/>
  </cols>
  <sheetData>
    <row r="1" spans="1:5" x14ac:dyDescent="0.45">
      <c r="A1" s="5" t="s">
        <v>9</v>
      </c>
      <c r="B1" s="5" t="s">
        <v>6</v>
      </c>
      <c r="C1" s="5" t="s">
        <v>5</v>
      </c>
      <c r="D1" s="5" t="s">
        <v>7</v>
      </c>
      <c r="E1" s="5" t="s">
        <v>8</v>
      </c>
    </row>
    <row r="2" spans="1:5" x14ac:dyDescent="0.45">
      <c r="A2">
        <v>20250721</v>
      </c>
      <c r="B2">
        <v>701348</v>
      </c>
      <c r="C2">
        <v>9318469.1999999993</v>
      </c>
      <c r="D2">
        <v>701373.5</v>
      </c>
      <c r="E2">
        <v>9318334.9000000004</v>
      </c>
    </row>
    <row r="3" spans="1:5" x14ac:dyDescent="0.45">
      <c r="A3">
        <v>20250725</v>
      </c>
      <c r="B3">
        <v>701342.3</v>
      </c>
      <c r="C3">
        <v>9318493.0999999996</v>
      </c>
      <c r="D3">
        <v>701372.9</v>
      </c>
      <c r="E3">
        <v>9318351.6999999993</v>
      </c>
    </row>
    <row r="4" spans="1:5" x14ac:dyDescent="0.45">
      <c r="A4">
        <v>20250801</v>
      </c>
      <c r="B4">
        <v>701336</v>
      </c>
      <c r="C4">
        <v>9318525.5</v>
      </c>
      <c r="D4">
        <v>701370.1</v>
      </c>
      <c r="E4">
        <v>9318359.4000000004</v>
      </c>
    </row>
    <row r="5" spans="1:5" x14ac:dyDescent="0.45">
      <c r="A5">
        <v>20250805</v>
      </c>
      <c r="B5">
        <v>701334.6</v>
      </c>
      <c r="C5">
        <v>9318534.5999999996</v>
      </c>
      <c r="D5">
        <v>701366.3</v>
      </c>
      <c r="E5">
        <v>9318372.8000000007</v>
      </c>
    </row>
    <row r="6" spans="1:5" x14ac:dyDescent="0.45">
      <c r="A6">
        <v>20250812</v>
      </c>
      <c r="B6">
        <v>701321.9</v>
      </c>
      <c r="C6">
        <v>9318579.6999999993</v>
      </c>
      <c r="D6">
        <v>701361.3</v>
      </c>
      <c r="E6">
        <v>9318398.5</v>
      </c>
    </row>
    <row r="7" spans="1:5" x14ac:dyDescent="0.45">
      <c r="A7">
        <v>20250816</v>
      </c>
      <c r="B7">
        <v>701317.7</v>
      </c>
      <c r="C7">
        <v>9318609.9000000004</v>
      </c>
      <c r="D7">
        <v>701361.3</v>
      </c>
      <c r="E7">
        <v>9318398.5</v>
      </c>
    </row>
    <row r="8" spans="1:5" x14ac:dyDescent="0.45">
      <c r="A8">
        <v>20250823</v>
      </c>
      <c r="B8">
        <v>701310</v>
      </c>
      <c r="C8">
        <v>9318655.5999999996</v>
      </c>
      <c r="D8">
        <v>701354.3</v>
      </c>
      <c r="E8">
        <v>9318431.9000000004</v>
      </c>
    </row>
    <row r="9" spans="1:5" x14ac:dyDescent="0.45">
      <c r="A9">
        <v>20250827</v>
      </c>
      <c r="B9">
        <v>701302.9</v>
      </c>
      <c r="C9">
        <v>9318680.3000000007</v>
      </c>
      <c r="D9">
        <v>701354.3</v>
      </c>
      <c r="E9">
        <v>9318443.9000000004</v>
      </c>
    </row>
    <row r="10" spans="1:5" x14ac:dyDescent="0.45">
      <c r="A10">
        <v>20250903</v>
      </c>
      <c r="B10">
        <v>701296.6</v>
      </c>
      <c r="C10">
        <v>9318706.3000000007</v>
      </c>
      <c r="D10">
        <v>701337.4</v>
      </c>
      <c r="E10">
        <v>9318508.5999999996</v>
      </c>
    </row>
    <row r="11" spans="1:5" x14ac:dyDescent="0.45">
      <c r="A11">
        <v>20250907</v>
      </c>
      <c r="D11">
        <v>701332.5</v>
      </c>
      <c r="E11">
        <v>9318526.1999999993</v>
      </c>
    </row>
    <row r="12" spans="1:5" x14ac:dyDescent="0.45">
      <c r="A12">
        <v>20250914</v>
      </c>
      <c r="D12">
        <v>701319.8</v>
      </c>
      <c r="E12">
        <v>9318588.0999999996</v>
      </c>
    </row>
    <row r="13" spans="1:5" x14ac:dyDescent="0.45">
      <c r="A13">
        <v>20250918</v>
      </c>
      <c r="D13">
        <v>701314.9</v>
      </c>
      <c r="E13">
        <v>9318621.1999999993</v>
      </c>
    </row>
    <row r="14" spans="1:5" x14ac:dyDescent="0.45">
      <c r="A14">
        <v>20250925</v>
      </c>
      <c r="D14">
        <v>701302.9</v>
      </c>
      <c r="E14">
        <v>9318673.9000000004</v>
      </c>
    </row>
    <row r="15" spans="1:5" x14ac:dyDescent="0.45">
      <c r="A15">
        <v>20250929</v>
      </c>
      <c r="D15">
        <v>701296.6</v>
      </c>
      <c r="E15">
        <v>9318706.3000000007</v>
      </c>
    </row>
    <row r="16" spans="1:5" x14ac:dyDescent="0.45">
      <c r="A16">
        <v>20251006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計算</vt:lpstr>
      <vt:lpstr>Sheet1</vt:lpstr>
      <vt:lpstr>完成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YASHIRO, Ryosuke / 野城 良祐</dc:creator>
  <cp:lastModifiedBy>YASHIRO, Ryosuke / 野城 良祐</cp:lastModifiedBy>
  <dcterms:created xsi:type="dcterms:W3CDTF">2025-12-28T10:48:12Z</dcterms:created>
  <dcterms:modified xsi:type="dcterms:W3CDTF">2025-12-29T13:57:32Z</dcterms:modified>
</cp:coreProperties>
</file>